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DF Data Extraction to Excel" sheetId="1" r:id="rId5"/>
  </sheets>
  <definedNames/>
  <calcPr/>
</workbook>
</file>

<file path=xl/sharedStrings.xml><?xml version="1.0" encoding="utf-8"?>
<sst xmlns="http://schemas.openxmlformats.org/spreadsheetml/2006/main" count="140" uniqueCount="138">
  <si>
    <t>Title</t>
  </si>
  <si>
    <t>Date</t>
  </si>
  <si>
    <t>Number of Months</t>
  </si>
  <si>
    <t>(A) Increase in Vehicle Population</t>
  </si>
  <si>
    <t>(B) Replacement of De-registered Vehicles</t>
  </si>
  <si>
    <t>(C) Adjustments</t>
  </si>
  <si>
    <t>Total/Monthly Quota</t>
  </si>
  <si>
    <t>MONTHLY COE QUOTA FOR FEBRUARY 2026 TO APRIL 2026</t>
  </si>
  <si>
    <t>FEBRUARY 2026 TO APRIL 2026</t>
  </si>
  <si>
    <t>MONTHLY COE QUOTA FOR NOVEMBER 2025 TO JANUARY 2026</t>
  </si>
  <si>
    <t>NOVEMBER 2025 TO JANUARY 2026</t>
  </si>
  <si>
    <t>MONTHLY COE QUOTA FOR AUGUST 2025 TO OCTOBER 2025</t>
  </si>
  <si>
    <t>AUGUST 2025 TO OCTOBER 2025</t>
  </si>
  <si>
    <t>MONTHLY COE QUOTA FOR MAY 2025 TO JULY 2025</t>
  </si>
  <si>
    <t>MAY 2025 TO JULY 2025</t>
  </si>
  <si>
    <t>MONTHLY COE QUOTA FOR FEBRUARY 2025 TO APRIL 2025</t>
  </si>
  <si>
    <t>FEBRUARY 2025 TO APRIL 2025</t>
  </si>
  <si>
    <t>MONTHLY COE QUOTA FOR NOVEMBER 2024 TO JANUARY 2025</t>
  </si>
  <si>
    <t>NOVEMBER 2024 TO JANUARY 2025</t>
  </si>
  <si>
    <t>MONTHLY COE QUOTA FOR AUGUST 2024 TO OCTOBER 2024</t>
  </si>
  <si>
    <t>AUGUST 2024 TO OCTOBER 2024</t>
  </si>
  <si>
    <t>MONTHLY COE QUOTA FOR MAY 2024 TO JULY 2024</t>
  </si>
  <si>
    <t>MAY 2024 TO JULY 2024</t>
  </si>
  <si>
    <t>MONTHLY COE QUOTA FOR FEBRUARY 2024 TO APRIL 2024</t>
  </si>
  <si>
    <t>FEBRUARY 2024 TO APRIL 2024</t>
  </si>
  <si>
    <t>REVISED MONTHLY COE QUOTA FOR NOVEMBER 2023 TO JANUARY 2024</t>
  </si>
  <si>
    <t>NOVEMBER 2023 TO JANUARY 2024</t>
  </si>
  <si>
    <t>ok</t>
  </si>
  <si>
    <t>REVISED MONTHLY COE QUOTA FOR AUG 2023 TO OCT 2023</t>
  </si>
  <si>
    <t>AUG 2023 TO OCT 2023</t>
  </si>
  <si>
    <t>REVISED MONTHLY COE QUOTA FOR MAY 2023 TO JUL 2023</t>
  </si>
  <si>
    <t>MAY 2023 TO JUL 2023</t>
  </si>
  <si>
    <t>MONTHLY COE QUOTA FOR FEB 2023 TO APR 2023</t>
  </si>
  <si>
    <t>FEB 2023 TO APR 2023</t>
  </si>
  <si>
    <t>MONTHLY COE QUOTA FOR NOV 2022 TO JAN 2023</t>
  </si>
  <si>
    <t>NOV 2022 TO JAN 2023</t>
  </si>
  <si>
    <t>MONTHLY COE QUOTA FOR AUG 2022 TO OCT 2022</t>
  </si>
  <si>
    <t>AUG 2022 TO OCT 2022</t>
  </si>
  <si>
    <t>MONTHLY COE QUOTA FOR MAY 2022 TO JUL 2022</t>
  </si>
  <si>
    <t>MAY 2022 TO JUL 2022</t>
  </si>
  <si>
    <t>MONTHLY COE QUOTA FOR FEB 2022 TO APR 2022</t>
  </si>
  <si>
    <t>FEB 2022 TO APR 2022</t>
  </si>
  <si>
    <t>MONTHLY COE QUOTA FOR NOV 2021 TO JAN 2022</t>
  </si>
  <si>
    <t>NOV 2021 TO JAN 2022</t>
  </si>
  <si>
    <t>MONTHLY COE QUOTA FOR AUG 2021 TO OCT 2021</t>
  </si>
  <si>
    <t>AUG 2021 TO OCT 2021</t>
  </si>
  <si>
    <t>MONTHLY COE QUOTA FROM MAY 2021 TO JUL 2021</t>
  </si>
  <si>
    <t>MAY 2021 TO JUL 2021</t>
  </si>
  <si>
    <t>Covid</t>
  </si>
  <si>
    <t>MONTHLY COE QUOTA FROM FEB 2021 TO APR 2021</t>
  </si>
  <si>
    <t>FEB 2021 TO APR 2021</t>
  </si>
  <si>
    <t>MONTHLY COE QUOTA FROM NOV 2020 TO JAN 2021</t>
  </si>
  <si>
    <t>NOV 2020 TO JAN 2021</t>
  </si>
  <si>
    <t>MONTHLY COE QUOTA FOR AUG TO OCT 2020</t>
  </si>
  <si>
    <t>AUG TO OCT 2020</t>
  </si>
  <si>
    <t>COE QUOTA FOR JUL 2020 BIDDING EXERCISES</t>
  </si>
  <si>
    <t>MONTHLY COE QUOTA FOR FEB 2020 TO APR 2020</t>
  </si>
  <si>
    <t>FEB 2020 TO APR 2020</t>
  </si>
  <si>
    <t>MONTHLY COE QUOTA FROM NOV 2019 TO JAN 2020</t>
  </si>
  <si>
    <t>NOV 2019 TO JAN 2020</t>
  </si>
  <si>
    <t>MONTHLY COE QUOTA FROM AUG 2019 TO OCT 2019</t>
  </si>
  <si>
    <t>AUG 2019 TO OCT 2019</t>
  </si>
  <si>
    <t>MONTHLY COE QUOTA FROM MAY 2019 TO JUL 2019</t>
  </si>
  <si>
    <t>MAY 2019 TO JUL 2019</t>
  </si>
  <si>
    <t>MONTHLY COE QUOTA FROM FEB 2019 TO APR 2019</t>
  </si>
  <si>
    <t>FEB 2019 TO APR 2019</t>
  </si>
  <si>
    <t>MONTHLY COE QUOTA FROM NOV 2018 TO JAN 2019</t>
  </si>
  <si>
    <t>NOV 2018 TO JAN 2019</t>
  </si>
  <si>
    <t>MONTHLY COE QUOTA FROM AUGUST 2018 TO OCTOBER 2018</t>
  </si>
  <si>
    <t>AUGUST 2018 TO OCTOBER 2018</t>
  </si>
  <si>
    <t>MONTHLY COE QUOTA FROM MAY 2018 TO JULY 2018</t>
  </si>
  <si>
    <t>MAY 2018 TO JULY 2018</t>
  </si>
  <si>
    <t>MONTHLY COE QUOTA FROM FEBRUARY 2018 TO APRIL 2018</t>
  </si>
  <si>
    <t>FEBRUARY 2018 TO APRIL 2018</t>
  </si>
  <si>
    <t>MONTHLY COE QUOTA FROM NOVEMBER 2017 TO JANUARY 2018</t>
  </si>
  <si>
    <t>NOVEMBER 2017 TO JANUARY 2018</t>
  </si>
  <si>
    <t>MONTHLY COE QUOTA FROM AUGUST 2017 TO OCTOBER 2017</t>
  </si>
  <si>
    <t>AUGUST 2017 TO OCTOBER 2017</t>
  </si>
  <si>
    <t>MONTHLY COE QUOTA FOR MAY 2017 TO JULY 2017</t>
  </si>
  <si>
    <t>MAY 2017 TO JULY 2017</t>
  </si>
  <si>
    <t>MONTHLY COE QUOTA FOR FEBRUARY 2017 TO APRIL 2017</t>
  </si>
  <si>
    <t>FEBRUARY 2017 TO APRIL 2017</t>
  </si>
  <si>
    <t>MONTHLY COE QUOTA FOR NOVEMBER 2016 TO JANUARY 2017</t>
  </si>
  <si>
    <t>NOVEMBER 2016 TO JANUARY 2017</t>
  </si>
  <si>
    <t>MONTHLY COE QUOTA FOR AUGUST 2016 TO OCTOBER 2016</t>
  </si>
  <si>
    <t>AUGUST 2016 TO OCTOBER 2016</t>
  </si>
  <si>
    <t>MONTHLY COE QUOTA FOR MAY 2016 TO JULY 2016</t>
  </si>
  <si>
    <t>MAY 2016 TO JULY 2016</t>
  </si>
  <si>
    <t>MONTHLY COE QUOTA FOR FEBRUARY 2016 TO APRIL 2016</t>
  </si>
  <si>
    <t>FEBRUARY 2016 TO APRIL 2016</t>
  </si>
  <si>
    <t>MONTHLY COE QUOTA FOR NOVEMBER 2015 TO JANUARY 2016</t>
  </si>
  <si>
    <t>NOVEMBER 2015 TO JANUARY 2016</t>
  </si>
  <si>
    <t>MONTHLY COE QUOTA FOR AUGUST TO OCTOBER 2015</t>
  </si>
  <si>
    <t>AUGUST TO OCTOBER 2015</t>
  </si>
  <si>
    <t>MONTHLY COE QUOTA FOR MAY TO JULY 2015</t>
  </si>
  <si>
    <t>MAY TO JULY 2015</t>
  </si>
  <si>
    <t>MONTHLY COE QUOTA FOR FEBRUARY TO APRIL 2015</t>
  </si>
  <si>
    <t>FEBRUARY TO APRIL 2015</t>
  </si>
  <si>
    <t>MONTHLY COE QUOTA FOR NOVEMBER 2014 TO JANUARY 2015</t>
  </si>
  <si>
    <t>NOVEMBER 2014 TO JANUARY 2015</t>
  </si>
  <si>
    <t>MONTHLY COE QUOTA FOR AUGUST TO OCTOBER 2014</t>
  </si>
  <si>
    <t>AUGUST TO OCTOBER 2014</t>
  </si>
  <si>
    <t>MONTHLY COE QUOTA FOR MAY TO JULY 2014</t>
  </si>
  <si>
    <t>MAY TO JULY 2014</t>
  </si>
  <si>
    <t>MONTHLY COE QUOTA FOR FEBRUARY TO APRIL 2014</t>
  </si>
  <si>
    <t>FEBRUARY TO APRIL 2014</t>
  </si>
  <si>
    <t>QUOTA FOR BIDDING EXERCISES FROM AUGUST 2013 - JANUARY 2014</t>
  </si>
  <si>
    <t>AUGUST 2013 - JANUARY 2014</t>
  </si>
  <si>
    <t>QUOTA FOR BIDDING EXERCISES FROM FEBRUARY 2013 - JULY 2013</t>
  </si>
  <si>
    <t>FEBRUARY 2013 - JULY 2013</t>
  </si>
  <si>
    <t>QUOTA FOR BIDDING EXERCISES FROM AUGUST 2012-JANUARY 2013</t>
  </si>
  <si>
    <t>AUGUST 2012-JANUARY 2013</t>
  </si>
  <si>
    <t>QUOTA FOR BIDDING EXERCISES FROM FEBRUARY 2012 - JULY 2012</t>
  </si>
  <si>
    <t>FEBRUARY 2012 - JULY 2012</t>
  </si>
  <si>
    <t>QUOTA FOR BIDDING EXERCISES FROM AUGUST 2011 - JANUARY 2012</t>
  </si>
  <si>
    <t>AUGUST 2011 - JANUARY 2012</t>
  </si>
  <si>
    <t>QUOTA FOR BIDDING EXERCISES FROM FEBRUARY 2011 - JULY 2011</t>
  </si>
  <si>
    <t>FEBRUARY 2011 - JULY 2011</t>
  </si>
  <si>
    <t>QUOTA FOR BIDDING EXERCISES FROM AUGUST 2010 - JANUARY 2011</t>
  </si>
  <si>
    <t>AUGUST 2010 - JANUARY 2011</t>
  </si>
  <si>
    <t>MONTHLY QUOTA FOR MAY - JULY 2010</t>
  </si>
  <si>
    <t>MAY - JULY 2010</t>
  </si>
  <si>
    <t>QUOTA FOR MAY 2009 - APRIL 2010</t>
  </si>
  <si>
    <t>May 2009 - April 2010</t>
  </si>
  <si>
    <t>QUOTA FOR MAY 2008 - APRIL 2009</t>
  </si>
  <si>
    <t>May 2008 - April 2009</t>
  </si>
  <si>
    <t>QUOTA FOR MAY 2007 - APRIL 2008</t>
  </si>
  <si>
    <t>May 2007 - April 2008</t>
  </si>
  <si>
    <t>QUOTA FOR MAY 2006 - APRIL 2007</t>
  </si>
  <si>
    <t>May 2006 - April 2007</t>
  </si>
  <si>
    <t>QUOTA FOR MAY 2005 - APRIL 2006</t>
  </si>
  <si>
    <t>May 2005 - April 2006</t>
  </si>
  <si>
    <t>QUOTA FOR MAY 2004 - APRIL 2005</t>
  </si>
  <si>
    <t>May 2004 - April 2005</t>
  </si>
  <si>
    <t>QUOTA FOR MAY 2003 - APRIL 2004</t>
  </si>
  <si>
    <t>May 2003 - April 2004</t>
  </si>
  <si>
    <t>QUOTA FOR MAY 2002 - APRIL 2003 (REVISED)</t>
  </si>
  <si>
    <t>May 2002 - April 2003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</si>
</sst>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0"/>
    <col customWidth="1" min="2" max="3" width="37.63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</row>
    <row r="2">
      <c r="A2" s="1" t="s">
        <v>7</v>
      </c>
      <c r="B2" s="1" t="s">
        <v>8</v>
      </c>
      <c r="C2" s="2">
        <v>3.0</v>
      </c>
      <c r="D2" s="1"/>
      <c r="E2" s="1">
        <v>0.0</v>
      </c>
      <c r="F2" s="3">
        <v>5745.0</v>
      </c>
      <c r="G2" s="3">
        <v>1840.0</v>
      </c>
      <c r="H2" s="3">
        <v>7585.0</v>
      </c>
      <c r="I2" s="4">
        <f t="shared" ref="I2:I66" si="1">E2+F2+G2</f>
        <v>7585</v>
      </c>
      <c r="J2" s="5" t="str">
        <f t="shared" ref="J2:J66" si="2">IF(H2=I2,"T","F")</f>
        <v>T</v>
      </c>
    </row>
    <row r="3">
      <c r="A3" s="1" t="s">
        <v>9</v>
      </c>
      <c r="B3" s="1" t="s">
        <v>10</v>
      </c>
      <c r="C3" s="2">
        <v>3.0</v>
      </c>
      <c r="D3" s="1"/>
      <c r="E3" s="1">
        <v>0.0</v>
      </c>
      <c r="F3" s="3">
        <v>5410.0</v>
      </c>
      <c r="G3" s="3">
        <v>2252.0</v>
      </c>
      <c r="H3" s="3">
        <v>7662.0</v>
      </c>
      <c r="I3" s="4">
        <f t="shared" si="1"/>
        <v>7662</v>
      </c>
      <c r="J3" s="5" t="str">
        <f t="shared" si="2"/>
        <v>T</v>
      </c>
    </row>
    <row r="4">
      <c r="A4" s="1" t="s">
        <v>11</v>
      </c>
      <c r="B4" s="1" t="s">
        <v>12</v>
      </c>
      <c r="C4" s="2">
        <v>3.0</v>
      </c>
      <c r="D4" s="1"/>
      <c r="E4" s="1">
        <v>0.0</v>
      </c>
      <c r="F4" s="3">
        <v>4975.0</v>
      </c>
      <c r="G4" s="3">
        <v>2611.0</v>
      </c>
      <c r="H4" s="3">
        <v>7586.0</v>
      </c>
      <c r="I4" s="4">
        <f t="shared" si="1"/>
        <v>7586</v>
      </c>
      <c r="J4" s="5" t="str">
        <f t="shared" si="2"/>
        <v>T</v>
      </c>
    </row>
    <row r="5">
      <c r="A5" s="1" t="s">
        <v>13</v>
      </c>
      <c r="B5" s="1" t="s">
        <v>14</v>
      </c>
      <c r="C5" s="2">
        <v>3.0</v>
      </c>
      <c r="D5" s="1"/>
      <c r="E5" s="1">
        <v>0.0</v>
      </c>
      <c r="F5" s="3">
        <v>4766.0</v>
      </c>
      <c r="G5" s="3">
        <v>2745.0</v>
      </c>
      <c r="H5" s="3">
        <v>7511.0</v>
      </c>
      <c r="I5" s="4">
        <f t="shared" si="1"/>
        <v>7511</v>
      </c>
      <c r="J5" s="5" t="str">
        <f t="shared" si="2"/>
        <v>T</v>
      </c>
    </row>
    <row r="6">
      <c r="A6" s="1" t="s">
        <v>15</v>
      </c>
      <c r="B6" s="1" t="s">
        <v>16</v>
      </c>
      <c r="C6" s="2">
        <v>3.0</v>
      </c>
      <c r="D6" s="1"/>
      <c r="E6" s="1">
        <v>0.0</v>
      </c>
      <c r="F6" s="3">
        <v>4821.0</v>
      </c>
      <c r="G6" s="3">
        <v>2007.0</v>
      </c>
      <c r="H6" s="3">
        <v>6828.0</v>
      </c>
      <c r="I6" s="4">
        <f t="shared" si="1"/>
        <v>6828</v>
      </c>
      <c r="J6" s="5" t="str">
        <f t="shared" si="2"/>
        <v>T</v>
      </c>
    </row>
    <row r="7">
      <c r="A7" s="1" t="s">
        <v>17</v>
      </c>
      <c r="B7" s="1" t="s">
        <v>18</v>
      </c>
      <c r="C7" s="2">
        <v>3.0</v>
      </c>
      <c r="D7" s="1"/>
      <c r="E7" s="1">
        <v>0.0</v>
      </c>
      <c r="F7" s="3">
        <v>4797.0</v>
      </c>
      <c r="G7" s="3">
        <v>1393.0</v>
      </c>
      <c r="H7" s="3">
        <v>6190.0</v>
      </c>
      <c r="I7" s="4">
        <f t="shared" si="1"/>
        <v>6190</v>
      </c>
      <c r="J7" s="5" t="str">
        <f t="shared" si="2"/>
        <v>T</v>
      </c>
    </row>
    <row r="8">
      <c r="A8" s="1" t="s">
        <v>19</v>
      </c>
      <c r="B8" s="1" t="s">
        <v>20</v>
      </c>
      <c r="C8" s="2">
        <v>3.0</v>
      </c>
      <c r="D8" s="1"/>
      <c r="E8" s="1">
        <v>0.0</v>
      </c>
      <c r="F8" s="3">
        <v>4670.0</v>
      </c>
      <c r="G8" s="3">
        <v>1194.0</v>
      </c>
      <c r="H8" s="3">
        <v>5864.0</v>
      </c>
      <c r="I8" s="4">
        <f t="shared" si="1"/>
        <v>5864</v>
      </c>
      <c r="J8" s="5" t="str">
        <f t="shared" si="2"/>
        <v>T</v>
      </c>
    </row>
    <row r="9">
      <c r="A9" s="1" t="s">
        <v>21</v>
      </c>
      <c r="B9" s="1" t="s">
        <v>22</v>
      </c>
      <c r="C9" s="2">
        <v>3.0</v>
      </c>
      <c r="D9" s="1"/>
      <c r="E9" s="1">
        <v>0.0</v>
      </c>
      <c r="F9" s="3">
        <v>4476.0</v>
      </c>
      <c r="G9" s="3">
        <v>1299.0</v>
      </c>
      <c r="H9" s="3">
        <v>5775.0</v>
      </c>
      <c r="I9" s="4">
        <f t="shared" si="1"/>
        <v>5775</v>
      </c>
      <c r="J9" s="5" t="str">
        <f t="shared" si="2"/>
        <v>T</v>
      </c>
    </row>
    <row r="10">
      <c r="A10" s="1" t="s">
        <v>23</v>
      </c>
      <c r="B10" s="1" t="s">
        <v>24</v>
      </c>
      <c r="C10" s="2">
        <v>3.0</v>
      </c>
      <c r="D10" s="1"/>
      <c r="E10" s="1">
        <v>0.0</v>
      </c>
      <c r="F10" s="3">
        <v>3806.0</v>
      </c>
      <c r="G10" s="3">
        <v>1803.0</v>
      </c>
      <c r="H10" s="3">
        <v>5609.0</v>
      </c>
      <c r="I10" s="4">
        <f t="shared" si="1"/>
        <v>5609</v>
      </c>
      <c r="J10" s="5" t="str">
        <f t="shared" si="2"/>
        <v>T</v>
      </c>
    </row>
    <row r="11">
      <c r="A11" s="1" t="s">
        <v>25</v>
      </c>
      <c r="B11" s="1" t="s">
        <v>26</v>
      </c>
      <c r="C11" s="2">
        <v>3.0</v>
      </c>
      <c r="D11" s="1"/>
      <c r="E11" s="1">
        <v>0.0</v>
      </c>
      <c r="F11" s="3">
        <v>3395.0</v>
      </c>
      <c r="G11" s="3">
        <v>1572.0</v>
      </c>
      <c r="H11" s="3">
        <v>5513.0</v>
      </c>
      <c r="I11" s="4">
        <f t="shared" si="1"/>
        <v>4967</v>
      </c>
      <c r="J11" s="5" t="str">
        <f t="shared" si="2"/>
        <v>F</v>
      </c>
      <c r="K11" s="1" t="s">
        <v>27</v>
      </c>
    </row>
    <row r="12">
      <c r="A12" s="1" t="s">
        <v>28</v>
      </c>
      <c r="B12" s="1" t="s">
        <v>29</v>
      </c>
      <c r="C12" s="2">
        <v>3.0</v>
      </c>
      <c r="D12" s="1"/>
      <c r="E12" s="1">
        <v>0.0</v>
      </c>
      <c r="F12" s="3">
        <v>3084.0</v>
      </c>
      <c r="G12" s="1">
        <v>701.0</v>
      </c>
      <c r="H12" s="3">
        <v>4085.0</v>
      </c>
      <c r="I12" s="4">
        <f t="shared" si="1"/>
        <v>3785</v>
      </c>
      <c r="J12" s="5" t="str">
        <f t="shared" si="2"/>
        <v>F</v>
      </c>
      <c r="K12" s="1" t="s">
        <v>27</v>
      </c>
    </row>
    <row r="13">
      <c r="A13" s="1" t="s">
        <v>30</v>
      </c>
      <c r="B13" s="1" t="s">
        <v>31</v>
      </c>
      <c r="C13" s="2">
        <v>3.0</v>
      </c>
      <c r="D13" s="1"/>
      <c r="E13" s="1">
        <v>0.0</v>
      </c>
      <c r="F13" s="3">
        <v>2797.0</v>
      </c>
      <c r="G13" s="1">
        <v>1.0</v>
      </c>
      <c r="H13" s="3">
        <v>3358.0</v>
      </c>
      <c r="I13" s="4">
        <f t="shared" si="1"/>
        <v>2798</v>
      </c>
      <c r="J13" s="5" t="str">
        <f t="shared" si="2"/>
        <v>F</v>
      </c>
      <c r="K13" s="1" t="s">
        <v>27</v>
      </c>
    </row>
    <row r="14">
      <c r="A14" s="1" t="s">
        <v>32</v>
      </c>
      <c r="B14" s="1" t="s">
        <v>33</v>
      </c>
      <c r="C14" s="2">
        <v>3.0</v>
      </c>
      <c r="D14" s="1"/>
      <c r="E14" s="1">
        <v>0.0</v>
      </c>
      <c r="F14" s="3">
        <v>3032.0</v>
      </c>
      <c r="G14" s="1">
        <v>0.0</v>
      </c>
      <c r="H14" s="3">
        <v>3032.0</v>
      </c>
      <c r="I14" s="4">
        <f t="shared" si="1"/>
        <v>3032</v>
      </c>
      <c r="J14" s="5" t="str">
        <f t="shared" si="2"/>
        <v>T</v>
      </c>
    </row>
    <row r="15">
      <c r="A15" s="1" t="s">
        <v>34</v>
      </c>
      <c r="B15" s="1" t="s">
        <v>35</v>
      </c>
      <c r="C15" s="2">
        <v>3.0</v>
      </c>
      <c r="D15" s="1"/>
      <c r="E15" s="1">
        <v>0.0</v>
      </c>
      <c r="F15" s="3">
        <v>2744.0</v>
      </c>
      <c r="G15" s="1">
        <v>3.0</v>
      </c>
      <c r="H15" s="3">
        <v>2747.0</v>
      </c>
      <c r="I15" s="4">
        <f t="shared" si="1"/>
        <v>2747</v>
      </c>
      <c r="J15" s="5" t="str">
        <f t="shared" si="2"/>
        <v>T</v>
      </c>
    </row>
    <row r="16">
      <c r="A16" s="1" t="s">
        <v>36</v>
      </c>
      <c r="B16" s="1" t="s">
        <v>37</v>
      </c>
      <c r="C16" s="2">
        <v>3.0</v>
      </c>
      <c r="D16" s="1"/>
      <c r="E16" s="1">
        <v>0.0</v>
      </c>
      <c r="F16" s="3">
        <v>3258.0</v>
      </c>
      <c r="G16" s="1">
        <v>0.0</v>
      </c>
      <c r="H16" s="3">
        <v>3258.0</v>
      </c>
      <c r="I16" s="4">
        <f t="shared" si="1"/>
        <v>3258</v>
      </c>
      <c r="J16" s="5" t="str">
        <f t="shared" si="2"/>
        <v>T</v>
      </c>
    </row>
    <row r="17">
      <c r="A17" s="1" t="s">
        <v>38</v>
      </c>
      <c r="B17" s="1" t="s">
        <v>39</v>
      </c>
      <c r="C17" s="2">
        <v>3.0</v>
      </c>
      <c r="D17" s="1"/>
      <c r="E17" s="1">
        <v>0.0</v>
      </c>
      <c r="F17" s="3">
        <v>3660.0</v>
      </c>
      <c r="G17" s="1">
        <v>12.0</v>
      </c>
      <c r="H17" s="3">
        <v>3672.0</v>
      </c>
      <c r="I17" s="4">
        <f t="shared" si="1"/>
        <v>3672</v>
      </c>
      <c r="J17" s="5" t="str">
        <f t="shared" si="2"/>
        <v>T</v>
      </c>
    </row>
    <row r="18">
      <c r="A18" s="1" t="s">
        <v>40</v>
      </c>
      <c r="B18" s="1" t="s">
        <v>41</v>
      </c>
      <c r="C18" s="2">
        <v>3.0</v>
      </c>
      <c r="D18" s="1"/>
      <c r="E18" s="1">
        <v>0.0</v>
      </c>
      <c r="F18" s="3">
        <v>3185.0</v>
      </c>
      <c r="G18" s="1">
        <v>2.0</v>
      </c>
      <c r="H18" s="3">
        <v>3187.0</v>
      </c>
      <c r="I18" s="4">
        <f t="shared" si="1"/>
        <v>3187</v>
      </c>
      <c r="J18" s="5" t="str">
        <f t="shared" si="2"/>
        <v>T</v>
      </c>
    </row>
    <row r="19">
      <c r="A19" s="1" t="s">
        <v>42</v>
      </c>
      <c r="B19" s="1" t="s">
        <v>43</v>
      </c>
      <c r="C19" s="2">
        <v>3.0</v>
      </c>
      <c r="D19" s="1"/>
      <c r="E19" s="1">
        <v>0.0</v>
      </c>
      <c r="F19" s="3">
        <v>3190.0</v>
      </c>
      <c r="G19" s="1">
        <v>0.0</v>
      </c>
      <c r="H19" s="3">
        <v>3190.0</v>
      </c>
      <c r="I19" s="4">
        <f t="shared" si="1"/>
        <v>3190</v>
      </c>
      <c r="J19" s="5" t="str">
        <f t="shared" si="2"/>
        <v>T</v>
      </c>
    </row>
    <row r="20">
      <c r="A20" s="1" t="s">
        <v>44</v>
      </c>
      <c r="B20" s="1" t="s">
        <v>45</v>
      </c>
      <c r="C20" s="2">
        <v>3.0</v>
      </c>
      <c r="D20" s="1"/>
      <c r="E20" s="1">
        <v>0.0</v>
      </c>
      <c r="F20" s="3">
        <v>4809.0</v>
      </c>
      <c r="G20" s="1">
        <v>6.0</v>
      </c>
      <c r="H20" s="3">
        <v>4815.0</v>
      </c>
      <c r="I20" s="4">
        <f t="shared" si="1"/>
        <v>4815</v>
      </c>
      <c r="J20" s="5" t="str">
        <f t="shared" si="2"/>
        <v>T</v>
      </c>
    </row>
    <row r="21">
      <c r="A21" s="1" t="s">
        <v>46</v>
      </c>
      <c r="B21" s="1" t="s">
        <v>47</v>
      </c>
      <c r="C21" s="2">
        <v>3.0</v>
      </c>
      <c r="D21" s="1"/>
      <c r="E21" s="1">
        <v>0.0</v>
      </c>
      <c r="F21" s="3">
        <v>4113.0</v>
      </c>
      <c r="G21" s="1">
        <v>1.0</v>
      </c>
      <c r="H21" s="3">
        <v>4973.0</v>
      </c>
      <c r="I21" s="4">
        <f t="shared" si="1"/>
        <v>4114</v>
      </c>
      <c r="J21" s="5" t="str">
        <f t="shared" si="2"/>
        <v>F</v>
      </c>
      <c r="K21" s="1" t="s">
        <v>48</v>
      </c>
    </row>
    <row r="22">
      <c r="A22" s="1" t="s">
        <v>49</v>
      </c>
      <c r="B22" s="1" t="s">
        <v>50</v>
      </c>
      <c r="C22" s="2">
        <v>3.0</v>
      </c>
      <c r="D22" s="1"/>
      <c r="E22" s="1">
        <v>0.0</v>
      </c>
      <c r="F22" s="3">
        <v>4005.0</v>
      </c>
      <c r="G22" s="1">
        <v>6.0</v>
      </c>
      <c r="H22" s="3">
        <v>5299.0</v>
      </c>
      <c r="I22" s="4">
        <f t="shared" si="1"/>
        <v>4011</v>
      </c>
      <c r="J22" s="5" t="str">
        <f t="shared" si="2"/>
        <v>F</v>
      </c>
    </row>
    <row r="23">
      <c r="A23" s="1" t="s">
        <v>51</v>
      </c>
      <c r="B23" s="1" t="s">
        <v>52</v>
      </c>
      <c r="C23" s="2">
        <v>3.0</v>
      </c>
      <c r="D23" s="1"/>
      <c r="E23" s="1">
        <v>0.0</v>
      </c>
      <c r="F23" s="3">
        <v>4486.0</v>
      </c>
      <c r="G23" s="1">
        <v>4.0</v>
      </c>
      <c r="H23" s="3">
        <v>5777.0</v>
      </c>
      <c r="I23" s="4">
        <f t="shared" si="1"/>
        <v>4490</v>
      </c>
      <c r="J23" s="5" t="str">
        <f t="shared" si="2"/>
        <v>F</v>
      </c>
    </row>
    <row r="24">
      <c r="A24" s="1" t="s">
        <v>53</v>
      </c>
      <c r="B24" s="1" t="s">
        <v>54</v>
      </c>
      <c r="C24" s="2">
        <v>3.0</v>
      </c>
      <c r="D24" s="1"/>
      <c r="E24" s="1">
        <v>0.0</v>
      </c>
      <c r="F24" s="3">
        <v>4183.0</v>
      </c>
      <c r="G24" s="1">
        <v>3.0</v>
      </c>
      <c r="H24" s="3">
        <v>5903.0</v>
      </c>
      <c r="I24" s="4">
        <f t="shared" si="1"/>
        <v>4186</v>
      </c>
      <c r="J24" s="5" t="str">
        <f t="shared" si="2"/>
        <v>F</v>
      </c>
    </row>
    <row r="25">
      <c r="A25" s="1" t="s">
        <v>55</v>
      </c>
      <c r="B25" s="6">
        <v>44013.0</v>
      </c>
      <c r="C25" s="7">
        <v>1.0</v>
      </c>
      <c r="D25" s="1"/>
      <c r="E25" s="1">
        <v>0.0</v>
      </c>
      <c r="F25" s="3">
        <v>5773.0</v>
      </c>
      <c r="G25" s="1">
        <v>2.0</v>
      </c>
      <c r="H25" s="3">
        <v>2568.0</v>
      </c>
      <c r="I25" s="4">
        <f t="shared" si="1"/>
        <v>5775</v>
      </c>
      <c r="J25" s="5" t="str">
        <f t="shared" si="2"/>
        <v>F</v>
      </c>
    </row>
    <row r="26">
      <c r="A26" s="1" t="s">
        <v>56</v>
      </c>
      <c r="B26" s="1" t="s">
        <v>57</v>
      </c>
      <c r="C26" s="2">
        <v>3.0</v>
      </c>
      <c r="D26" s="1"/>
      <c r="E26" s="1">
        <v>0.0</v>
      </c>
      <c r="F26" s="3">
        <v>5832.0</v>
      </c>
      <c r="G26" s="1">
        <v>4.0</v>
      </c>
      <c r="H26" s="3">
        <v>5836.0</v>
      </c>
      <c r="I26" s="4">
        <f t="shared" si="1"/>
        <v>5836</v>
      </c>
      <c r="J26" s="5" t="str">
        <f t="shared" si="2"/>
        <v>T</v>
      </c>
    </row>
    <row r="27">
      <c r="A27" s="1" t="s">
        <v>58</v>
      </c>
      <c r="B27" s="1" t="s">
        <v>59</v>
      </c>
      <c r="C27" s="2">
        <v>3.0</v>
      </c>
      <c r="D27" s="1"/>
      <c r="E27" s="1">
        <v>0.0</v>
      </c>
      <c r="F27" s="3">
        <v>6095.0</v>
      </c>
      <c r="G27" s="1">
        <v>15.0</v>
      </c>
      <c r="H27" s="3">
        <v>6110.0</v>
      </c>
      <c r="I27" s="4">
        <f t="shared" si="1"/>
        <v>6110</v>
      </c>
      <c r="J27" s="5" t="str">
        <f t="shared" si="2"/>
        <v>T</v>
      </c>
    </row>
    <row r="28">
      <c r="A28" s="1" t="s">
        <v>60</v>
      </c>
      <c r="B28" s="1" t="s">
        <v>61</v>
      </c>
      <c r="C28" s="2">
        <v>3.0</v>
      </c>
      <c r="D28" s="1"/>
      <c r="E28" s="1">
        <v>0.0</v>
      </c>
      <c r="F28" s="3">
        <v>6337.0</v>
      </c>
      <c r="G28" s="1">
        <v>1.0</v>
      </c>
      <c r="H28" s="3">
        <v>6338.0</v>
      </c>
      <c r="I28" s="4">
        <f t="shared" si="1"/>
        <v>6338</v>
      </c>
      <c r="J28" s="5" t="str">
        <f t="shared" si="2"/>
        <v>T</v>
      </c>
    </row>
    <row r="29">
      <c r="A29" s="1" t="s">
        <v>62</v>
      </c>
      <c r="B29" s="1" t="s">
        <v>63</v>
      </c>
      <c r="C29" s="2">
        <v>3.0</v>
      </c>
      <c r="D29" s="1"/>
      <c r="E29" s="1">
        <v>0.0</v>
      </c>
      <c r="F29" s="3">
        <v>8537.0</v>
      </c>
      <c r="G29" s="1">
        <v>9.0</v>
      </c>
      <c r="H29" s="3">
        <v>8546.0</v>
      </c>
      <c r="I29" s="4">
        <f t="shared" si="1"/>
        <v>8546</v>
      </c>
      <c r="J29" s="5" t="str">
        <f t="shared" si="2"/>
        <v>T</v>
      </c>
    </row>
    <row r="30">
      <c r="A30" s="1" t="s">
        <v>64</v>
      </c>
      <c r="B30" s="1" t="s">
        <v>65</v>
      </c>
      <c r="C30" s="2">
        <v>3.0</v>
      </c>
      <c r="D30" s="1"/>
      <c r="E30" s="1">
        <v>0.0</v>
      </c>
      <c r="F30" s="3">
        <v>9894.0</v>
      </c>
      <c r="G30" s="1">
        <v>7.0</v>
      </c>
      <c r="H30" s="3">
        <v>9901.0</v>
      </c>
      <c r="I30" s="4">
        <f t="shared" si="1"/>
        <v>9901</v>
      </c>
      <c r="J30" s="5" t="str">
        <f t="shared" si="2"/>
        <v>T</v>
      </c>
    </row>
    <row r="31">
      <c r="A31" s="1" t="s">
        <v>66</v>
      </c>
      <c r="B31" s="1" t="s">
        <v>67</v>
      </c>
      <c r="C31" s="2">
        <v>3.0</v>
      </c>
      <c r="D31" s="1"/>
      <c r="E31" s="1">
        <v>0.0</v>
      </c>
      <c r="F31" s="3">
        <v>10890.0</v>
      </c>
      <c r="G31" s="1">
        <v>4.0</v>
      </c>
      <c r="H31" s="3">
        <v>10894.0</v>
      </c>
      <c r="I31" s="4">
        <f t="shared" si="1"/>
        <v>10894</v>
      </c>
      <c r="J31" s="5" t="str">
        <f t="shared" si="2"/>
        <v>T</v>
      </c>
    </row>
    <row r="32">
      <c r="A32" s="1" t="s">
        <v>68</v>
      </c>
      <c r="B32" s="1" t="s">
        <v>69</v>
      </c>
      <c r="C32" s="2">
        <v>3.0</v>
      </c>
      <c r="D32" s="1"/>
      <c r="E32" s="1">
        <v>0.0</v>
      </c>
      <c r="F32" s="3">
        <v>9972.0</v>
      </c>
      <c r="G32" s="1">
        <v>14.0</v>
      </c>
      <c r="H32" s="3">
        <v>9986.0</v>
      </c>
      <c r="I32" s="4">
        <f t="shared" si="1"/>
        <v>9986</v>
      </c>
      <c r="J32" s="5" t="str">
        <f t="shared" si="2"/>
        <v>T</v>
      </c>
    </row>
    <row r="33">
      <c r="A33" s="1" t="s">
        <v>70</v>
      </c>
      <c r="B33" s="1" t="s">
        <v>71</v>
      </c>
      <c r="C33" s="2">
        <v>3.0</v>
      </c>
      <c r="D33" s="1"/>
      <c r="E33" s="1">
        <v>0.0</v>
      </c>
      <c r="F33" s="3">
        <v>8592.0</v>
      </c>
      <c r="G33" s="1">
        <v>11.0</v>
      </c>
      <c r="H33" s="3">
        <v>8603.0</v>
      </c>
      <c r="I33" s="4">
        <f t="shared" si="1"/>
        <v>8603</v>
      </c>
      <c r="J33" s="5" t="str">
        <f t="shared" si="2"/>
        <v>T</v>
      </c>
    </row>
    <row r="34">
      <c r="A34" s="1" t="s">
        <v>72</v>
      </c>
      <c r="B34" s="1" t="s">
        <v>73</v>
      </c>
      <c r="C34" s="2">
        <v>3.0</v>
      </c>
      <c r="D34" s="1"/>
      <c r="E34" s="1">
        <v>0.0</v>
      </c>
      <c r="F34" s="3">
        <v>9329.0</v>
      </c>
      <c r="G34" s="1">
        <v>16.0</v>
      </c>
      <c r="H34" s="3">
        <v>9345.0</v>
      </c>
      <c r="I34" s="4">
        <f t="shared" si="1"/>
        <v>9345</v>
      </c>
      <c r="J34" s="5" t="str">
        <f t="shared" si="2"/>
        <v>T</v>
      </c>
    </row>
    <row r="35">
      <c r="A35" s="1" t="s">
        <v>74</v>
      </c>
      <c r="B35" s="1" t="s">
        <v>75</v>
      </c>
      <c r="C35" s="2">
        <v>3.0</v>
      </c>
      <c r="D35" s="1"/>
      <c r="E35" s="1">
        <v>198.0</v>
      </c>
      <c r="F35" s="3">
        <v>9880.0</v>
      </c>
      <c r="G35" s="1">
        <v>3.0</v>
      </c>
      <c r="H35" s="3">
        <v>10081.0</v>
      </c>
      <c r="I35" s="4">
        <f t="shared" si="1"/>
        <v>10081</v>
      </c>
      <c r="J35" s="5" t="str">
        <f t="shared" si="2"/>
        <v>T</v>
      </c>
    </row>
    <row r="36">
      <c r="A36" s="1" t="s">
        <v>76</v>
      </c>
      <c r="B36" s="1" t="s">
        <v>77</v>
      </c>
      <c r="C36" s="2">
        <v>3.0</v>
      </c>
      <c r="D36" s="1"/>
      <c r="E36" s="1">
        <v>198.0</v>
      </c>
      <c r="F36" s="3">
        <v>10687.0</v>
      </c>
      <c r="G36" s="1">
        <v>5.0</v>
      </c>
      <c r="H36" s="3">
        <v>10890.0</v>
      </c>
      <c r="I36" s="4">
        <f t="shared" si="1"/>
        <v>10890</v>
      </c>
      <c r="J36" s="5" t="str">
        <f t="shared" si="2"/>
        <v>T</v>
      </c>
    </row>
    <row r="37">
      <c r="A37" s="1" t="s">
        <v>78</v>
      </c>
      <c r="B37" s="1" t="s">
        <v>79</v>
      </c>
      <c r="C37" s="2">
        <v>3.0</v>
      </c>
      <c r="D37" s="1"/>
      <c r="E37" s="1">
        <v>198.0</v>
      </c>
      <c r="F37" s="3">
        <v>11165.0</v>
      </c>
      <c r="G37" s="1">
        <v>28.0</v>
      </c>
      <c r="H37" s="3">
        <v>11391.0</v>
      </c>
      <c r="I37" s="4">
        <f t="shared" si="1"/>
        <v>11391</v>
      </c>
      <c r="J37" s="5" t="str">
        <f t="shared" si="2"/>
        <v>T</v>
      </c>
    </row>
    <row r="38">
      <c r="A38" s="1" t="s">
        <v>80</v>
      </c>
      <c r="B38" s="1" t="s">
        <v>81</v>
      </c>
      <c r="C38" s="2">
        <v>3.0</v>
      </c>
      <c r="D38" s="1"/>
      <c r="E38" s="1">
        <v>198.0</v>
      </c>
      <c r="F38" s="3">
        <v>12106.0</v>
      </c>
      <c r="G38" s="1">
        <v>10.0</v>
      </c>
      <c r="H38" s="3">
        <v>12314.0</v>
      </c>
      <c r="I38" s="4">
        <f t="shared" si="1"/>
        <v>12314</v>
      </c>
      <c r="J38" s="5" t="str">
        <f t="shared" si="2"/>
        <v>T</v>
      </c>
    </row>
    <row r="39">
      <c r="A39" s="1" t="s">
        <v>82</v>
      </c>
      <c r="B39" s="1" t="s">
        <v>83</v>
      </c>
      <c r="C39" s="2">
        <v>3.0</v>
      </c>
      <c r="D39" s="1"/>
      <c r="E39" s="1">
        <v>201.0</v>
      </c>
      <c r="F39" s="3">
        <v>10863.0</v>
      </c>
      <c r="G39" s="1">
        <v>2.0</v>
      </c>
      <c r="H39" s="3">
        <v>11066.0</v>
      </c>
      <c r="I39" s="4">
        <f t="shared" si="1"/>
        <v>11066</v>
      </c>
      <c r="J39" s="5" t="str">
        <f t="shared" si="2"/>
        <v>T</v>
      </c>
    </row>
    <row r="40">
      <c r="A40" s="1" t="s">
        <v>84</v>
      </c>
      <c r="B40" s="1" t="s">
        <v>85</v>
      </c>
      <c r="C40" s="2">
        <v>3.0</v>
      </c>
      <c r="D40" s="1"/>
      <c r="E40" s="1">
        <v>201.0</v>
      </c>
      <c r="F40" s="3">
        <v>11819.0</v>
      </c>
      <c r="G40" s="1">
        <v>28.0</v>
      </c>
      <c r="H40" s="3">
        <v>12048.0</v>
      </c>
      <c r="I40" s="4">
        <f t="shared" si="1"/>
        <v>12048</v>
      </c>
      <c r="J40" s="5" t="str">
        <f t="shared" si="2"/>
        <v>T</v>
      </c>
    </row>
    <row r="41">
      <c r="A41" s="1" t="s">
        <v>86</v>
      </c>
      <c r="B41" s="1" t="s">
        <v>87</v>
      </c>
      <c r="C41" s="2">
        <v>3.0</v>
      </c>
      <c r="D41" s="1"/>
      <c r="E41" s="1">
        <v>201.0</v>
      </c>
      <c r="F41" s="3">
        <v>13086.0</v>
      </c>
      <c r="G41" s="1">
        <v>13.0</v>
      </c>
      <c r="H41" s="3">
        <v>13300.0</v>
      </c>
      <c r="I41" s="4">
        <f t="shared" si="1"/>
        <v>13300</v>
      </c>
      <c r="J41" s="5" t="str">
        <f t="shared" si="2"/>
        <v>T</v>
      </c>
    </row>
    <row r="42">
      <c r="A42" s="1" t="s">
        <v>88</v>
      </c>
      <c r="B42" s="1" t="s">
        <v>89</v>
      </c>
      <c r="C42" s="2">
        <v>3.0</v>
      </c>
      <c r="D42" s="1"/>
      <c r="E42" s="1">
        <v>201.0</v>
      </c>
      <c r="F42" s="3">
        <v>11963.0</v>
      </c>
      <c r="G42" s="1">
        <v>7.0</v>
      </c>
      <c r="H42" s="3">
        <v>12171.0</v>
      </c>
      <c r="I42" s="4">
        <f t="shared" si="1"/>
        <v>12171</v>
      </c>
      <c r="J42" s="5" t="str">
        <f t="shared" si="2"/>
        <v>T</v>
      </c>
    </row>
    <row r="43">
      <c r="A43" s="1" t="s">
        <v>90</v>
      </c>
      <c r="B43" s="1" t="s">
        <v>91</v>
      </c>
      <c r="C43" s="2">
        <v>3.0</v>
      </c>
      <c r="D43" s="1"/>
      <c r="E43" s="1">
        <v>210.0</v>
      </c>
      <c r="F43" s="3">
        <v>9726.0</v>
      </c>
      <c r="G43" s="1">
        <v>4.0</v>
      </c>
      <c r="H43" s="3">
        <v>9940.0</v>
      </c>
      <c r="I43" s="4">
        <f t="shared" si="1"/>
        <v>9940</v>
      </c>
      <c r="J43" s="5" t="str">
        <f t="shared" si="2"/>
        <v>T</v>
      </c>
    </row>
    <row r="44">
      <c r="A44" s="1" t="s">
        <v>92</v>
      </c>
      <c r="B44" s="1" t="s">
        <v>93</v>
      </c>
      <c r="C44" s="2">
        <v>3.0</v>
      </c>
      <c r="D44" s="1"/>
      <c r="E44" s="1">
        <v>210.0</v>
      </c>
      <c r="F44" s="3">
        <v>9906.0</v>
      </c>
      <c r="G44" s="1">
        <v>4.0</v>
      </c>
      <c r="H44" s="3">
        <v>10120.0</v>
      </c>
      <c r="I44" s="4">
        <f t="shared" si="1"/>
        <v>10120</v>
      </c>
      <c r="J44" s="5" t="str">
        <f t="shared" si="2"/>
        <v>T</v>
      </c>
    </row>
    <row r="45">
      <c r="A45" s="1" t="s">
        <v>94</v>
      </c>
      <c r="B45" s="1" t="s">
        <v>95</v>
      </c>
      <c r="C45" s="2">
        <v>3.0</v>
      </c>
      <c r="D45" s="1"/>
      <c r="E45" s="1">
        <v>142.0</v>
      </c>
      <c r="F45" s="3">
        <v>8412.0</v>
      </c>
      <c r="G45" s="1">
        <v>4.0</v>
      </c>
      <c r="H45" s="3">
        <v>8558.0</v>
      </c>
      <c r="I45" s="4">
        <f t="shared" si="1"/>
        <v>8558</v>
      </c>
      <c r="J45" s="5" t="str">
        <f t="shared" si="2"/>
        <v>T</v>
      </c>
    </row>
    <row r="46">
      <c r="A46" s="1" t="s">
        <v>96</v>
      </c>
      <c r="B46" s="1" t="s">
        <v>97</v>
      </c>
      <c r="C46" s="2">
        <v>3.0</v>
      </c>
      <c r="D46" s="1"/>
      <c r="E46" s="1">
        <v>143.0</v>
      </c>
      <c r="F46" s="3">
        <v>5770.0</v>
      </c>
      <c r="G46" s="1">
        <v>6.0</v>
      </c>
      <c r="H46" s="3">
        <v>5919.0</v>
      </c>
      <c r="I46" s="4">
        <f t="shared" si="1"/>
        <v>5919</v>
      </c>
      <c r="J46" s="5" t="str">
        <f t="shared" si="2"/>
        <v>T</v>
      </c>
    </row>
    <row r="47">
      <c r="A47" s="1" t="s">
        <v>98</v>
      </c>
      <c r="B47" s="1" t="s">
        <v>99</v>
      </c>
      <c r="C47" s="2">
        <v>3.0</v>
      </c>
      <c r="D47" s="1"/>
      <c r="E47" s="1">
        <v>427.0</v>
      </c>
      <c r="F47" s="3">
        <v>4078.0</v>
      </c>
      <c r="G47" s="1">
        <v>-316.0</v>
      </c>
      <c r="H47" s="3">
        <v>4189.0</v>
      </c>
      <c r="I47" s="4">
        <f t="shared" si="1"/>
        <v>4189</v>
      </c>
      <c r="J47" s="5" t="str">
        <f t="shared" si="2"/>
        <v>T</v>
      </c>
    </row>
    <row r="48">
      <c r="A48" s="1" t="s">
        <v>100</v>
      </c>
      <c r="B48" s="1" t="s">
        <v>101</v>
      </c>
      <c r="C48" s="2">
        <v>3.0</v>
      </c>
      <c r="D48" s="1"/>
      <c r="E48" s="1">
        <v>427.0</v>
      </c>
      <c r="F48" s="3">
        <v>3323.0</v>
      </c>
      <c r="G48" s="1">
        <v>-320.0</v>
      </c>
      <c r="H48" s="3">
        <v>3430.0</v>
      </c>
      <c r="I48" s="4">
        <f t="shared" si="1"/>
        <v>3430</v>
      </c>
      <c r="J48" s="5" t="str">
        <f t="shared" si="2"/>
        <v>T</v>
      </c>
    </row>
    <row r="49">
      <c r="A49" s="1" t="s">
        <v>102</v>
      </c>
      <c r="B49" s="1" t="s">
        <v>103</v>
      </c>
      <c r="C49" s="2">
        <v>3.0</v>
      </c>
      <c r="D49" s="1"/>
      <c r="E49" s="1">
        <v>427.0</v>
      </c>
      <c r="F49" s="3">
        <v>2929.0</v>
      </c>
      <c r="G49" s="1">
        <v>-322.0</v>
      </c>
      <c r="H49" s="3">
        <v>3034.0</v>
      </c>
      <c r="I49" s="4">
        <f t="shared" si="1"/>
        <v>3034</v>
      </c>
      <c r="J49" s="5" t="str">
        <f t="shared" si="2"/>
        <v>T</v>
      </c>
    </row>
    <row r="50">
      <c r="A50" s="1" t="s">
        <v>104</v>
      </c>
      <c r="B50" s="1" t="s">
        <v>105</v>
      </c>
      <c r="C50" s="2">
        <v>3.0</v>
      </c>
      <c r="D50" s="1"/>
      <c r="E50" s="1">
        <v>427.0</v>
      </c>
      <c r="F50" s="3">
        <v>2007.0</v>
      </c>
      <c r="G50" s="1">
        <v>-283.0</v>
      </c>
      <c r="H50" s="3">
        <v>2151.0</v>
      </c>
      <c r="I50" s="4">
        <f t="shared" si="1"/>
        <v>2151</v>
      </c>
      <c r="J50" s="5" t="str">
        <f t="shared" si="2"/>
        <v>T</v>
      </c>
    </row>
    <row r="51">
      <c r="A51" s="1" t="s">
        <v>106</v>
      </c>
      <c r="B51" s="1" t="s">
        <v>107</v>
      </c>
      <c r="C51" s="2">
        <v>6.0</v>
      </c>
      <c r="D51" s="1"/>
      <c r="E51" s="1">
        <v>855.0</v>
      </c>
      <c r="F51" s="3">
        <v>4152.0</v>
      </c>
      <c r="G51" s="1">
        <v>-640.0</v>
      </c>
      <c r="H51" s="3">
        <v>4367.0</v>
      </c>
      <c r="I51" s="4">
        <f t="shared" si="1"/>
        <v>4367</v>
      </c>
      <c r="J51" s="5" t="str">
        <f t="shared" si="2"/>
        <v>T</v>
      </c>
    </row>
    <row r="52">
      <c r="A52" s="1" t="s">
        <v>108</v>
      </c>
      <c r="B52" s="1" t="s">
        <v>109</v>
      </c>
      <c r="C52" s="2">
        <v>6.0</v>
      </c>
      <c r="D52" s="1"/>
      <c r="E52" s="1">
        <v>855.0</v>
      </c>
      <c r="F52" s="3">
        <v>3144.0</v>
      </c>
      <c r="G52" s="1">
        <v>2.0</v>
      </c>
      <c r="H52" s="3">
        <v>4001.0</v>
      </c>
      <c r="I52" s="4">
        <f t="shared" si="1"/>
        <v>4001</v>
      </c>
      <c r="J52" s="5" t="str">
        <f t="shared" si="2"/>
        <v>T</v>
      </c>
    </row>
    <row r="53">
      <c r="A53" s="1" t="s">
        <v>110</v>
      </c>
      <c r="B53" s="1" t="s">
        <v>111</v>
      </c>
      <c r="C53" s="2">
        <v>6.0</v>
      </c>
      <c r="D53" s="3"/>
      <c r="E53" s="3">
        <v>1818.0</v>
      </c>
      <c r="F53" s="3">
        <v>2896.0</v>
      </c>
      <c r="G53" s="1">
        <v>0.0</v>
      </c>
      <c r="H53" s="3">
        <v>4714.0</v>
      </c>
      <c r="I53" s="4">
        <f t="shared" si="1"/>
        <v>4714</v>
      </c>
      <c r="J53" s="5" t="str">
        <f t="shared" si="2"/>
        <v>T</v>
      </c>
    </row>
    <row r="54">
      <c r="A54" s="1" t="s">
        <v>112</v>
      </c>
      <c r="B54" s="1" t="s">
        <v>113</v>
      </c>
      <c r="C54" s="2">
        <v>6.0</v>
      </c>
      <c r="D54" s="3"/>
      <c r="E54" s="3">
        <v>2727.0</v>
      </c>
      <c r="F54" s="3">
        <v>5352.0</v>
      </c>
      <c r="G54" s="1">
        <v>-647.0</v>
      </c>
      <c r="H54" s="3">
        <v>7432.0</v>
      </c>
      <c r="I54" s="4">
        <f t="shared" si="1"/>
        <v>7432</v>
      </c>
      <c r="J54" s="5" t="str">
        <f t="shared" si="2"/>
        <v>T</v>
      </c>
    </row>
    <row r="55">
      <c r="A55" s="1" t="s">
        <v>114</v>
      </c>
      <c r="B55" s="1" t="s">
        <v>115</v>
      </c>
      <c r="C55" s="2">
        <v>6.0</v>
      </c>
      <c r="D55" s="3"/>
      <c r="E55" s="3">
        <v>2735.0</v>
      </c>
      <c r="F55" s="3">
        <v>4489.0</v>
      </c>
      <c r="G55" s="1">
        <v>-647.0</v>
      </c>
      <c r="H55" s="3">
        <v>6577.0</v>
      </c>
      <c r="I55" s="4">
        <f t="shared" si="1"/>
        <v>6577</v>
      </c>
      <c r="J55" s="5" t="str">
        <f t="shared" si="2"/>
        <v>T</v>
      </c>
    </row>
    <row r="56">
      <c r="A56" s="1" t="s">
        <v>116</v>
      </c>
      <c r="B56" s="1" t="s">
        <v>117</v>
      </c>
      <c r="C56" s="2">
        <v>6.0</v>
      </c>
      <c r="D56" s="3"/>
      <c r="E56" s="3">
        <v>2735.0</v>
      </c>
      <c r="F56" s="3">
        <v>4033.0</v>
      </c>
      <c r="G56" s="1">
        <v>-647.0</v>
      </c>
      <c r="H56" s="3">
        <v>6121.0</v>
      </c>
      <c r="I56" s="4">
        <f t="shared" si="1"/>
        <v>6121</v>
      </c>
      <c r="J56" s="5" t="str">
        <f t="shared" si="2"/>
        <v>T</v>
      </c>
    </row>
    <row r="57">
      <c r="A57" s="1" t="s">
        <v>118</v>
      </c>
      <c r="B57" s="1" t="s">
        <v>119</v>
      </c>
      <c r="C57" s="2">
        <v>6.0</v>
      </c>
      <c r="D57" s="3"/>
      <c r="E57" s="3">
        <v>3217.0</v>
      </c>
      <c r="F57" s="3">
        <v>5896.0</v>
      </c>
      <c r="G57" s="3">
        <v>-1942.0</v>
      </c>
      <c r="H57" s="3">
        <v>7171.0</v>
      </c>
      <c r="I57" s="4">
        <f t="shared" si="1"/>
        <v>7171</v>
      </c>
      <c r="J57" s="5" t="str">
        <f t="shared" si="2"/>
        <v>T</v>
      </c>
    </row>
    <row r="58">
      <c r="A58" s="1" t="s">
        <v>120</v>
      </c>
      <c r="B58" s="1" t="s">
        <v>121</v>
      </c>
      <c r="C58" s="7">
        <v>3.0</v>
      </c>
      <c r="D58" s="1"/>
      <c r="E58" s="1">
        <v>537.0</v>
      </c>
      <c r="F58" s="3">
        <v>1181.0</v>
      </c>
      <c r="G58" s="1">
        <v>-323.0</v>
      </c>
      <c r="H58" s="3">
        <v>1395.0</v>
      </c>
      <c r="I58" s="4">
        <f t="shared" si="1"/>
        <v>1395</v>
      </c>
      <c r="J58" s="5" t="str">
        <f t="shared" si="2"/>
        <v>T</v>
      </c>
    </row>
    <row r="59">
      <c r="A59" s="8" t="s">
        <v>122</v>
      </c>
      <c r="B59" s="8" t="s">
        <v>123</v>
      </c>
      <c r="C59" s="9">
        <v>12.0</v>
      </c>
      <c r="D59" s="10"/>
      <c r="E59" s="10">
        <v>5165.0</v>
      </c>
      <c r="F59" s="10">
        <v>30825.0</v>
      </c>
      <c r="G59" s="10">
        <v>-2530.0</v>
      </c>
      <c r="H59" s="10">
        <v>30504.0</v>
      </c>
      <c r="I59" s="4">
        <f t="shared" si="1"/>
        <v>33460</v>
      </c>
      <c r="J59" s="5" t="str">
        <f t="shared" si="2"/>
        <v>F</v>
      </c>
    </row>
    <row r="60">
      <c r="A60" s="8" t="s">
        <v>124</v>
      </c>
      <c r="B60" s="8" t="s">
        <v>125</v>
      </c>
      <c r="C60" s="9">
        <v>12.0</v>
      </c>
      <c r="D60" s="10"/>
      <c r="E60" s="10">
        <v>9879.0</v>
      </c>
      <c r="F60" s="10">
        <v>34500.0</v>
      </c>
      <c r="G60" s="10">
        <v>4449.0</v>
      </c>
      <c r="H60" s="10">
        <v>48828.0</v>
      </c>
      <c r="I60" s="4">
        <f t="shared" si="1"/>
        <v>48828</v>
      </c>
      <c r="J60" s="5" t="str">
        <f t="shared" si="2"/>
        <v>T</v>
      </c>
    </row>
    <row r="61">
      <c r="A61" s="8" t="s">
        <v>126</v>
      </c>
      <c r="B61" s="8" t="s">
        <v>127</v>
      </c>
      <c r="C61" s="9">
        <v>12.0</v>
      </c>
      <c r="D61" s="10"/>
      <c r="E61" s="10">
        <v>9237.0</v>
      </c>
      <c r="F61" s="10">
        <v>30600.0</v>
      </c>
      <c r="G61" s="10">
        <v>11951.0</v>
      </c>
      <c r="H61" s="10">
        <v>51803.0</v>
      </c>
      <c r="I61" s="4">
        <f t="shared" si="1"/>
        <v>51788</v>
      </c>
      <c r="J61" s="5" t="str">
        <f t="shared" si="2"/>
        <v>F</v>
      </c>
    </row>
    <row r="62">
      <c r="A62" s="8" t="s">
        <v>128</v>
      </c>
      <c r="B62" s="8" t="s">
        <v>129</v>
      </c>
      <c r="C62" s="9">
        <v>12.0</v>
      </c>
      <c r="D62" s="10"/>
      <c r="E62" s="10">
        <v>8708.0</v>
      </c>
      <c r="F62" s="10">
        <v>29100.0</v>
      </c>
      <c r="G62" s="10">
        <v>15317.0</v>
      </c>
      <c r="H62" s="10">
        <v>53198.0</v>
      </c>
      <c r="I62" s="4">
        <f t="shared" si="1"/>
        <v>53125</v>
      </c>
      <c r="J62" s="5" t="str">
        <f t="shared" si="2"/>
        <v>F</v>
      </c>
    </row>
    <row r="63">
      <c r="A63" s="8" t="s">
        <v>130</v>
      </c>
      <c r="B63" s="8" t="s">
        <v>131</v>
      </c>
      <c r="C63" s="9">
        <v>12.0</v>
      </c>
      <c r="D63" s="10"/>
      <c r="E63" s="10">
        <v>8371.0</v>
      </c>
      <c r="F63" s="10">
        <v>26700.0</v>
      </c>
      <c r="G63" s="10">
        <v>17537.0</v>
      </c>
      <c r="H63" s="10">
        <v>52631.0</v>
      </c>
      <c r="I63" s="4">
        <f t="shared" si="1"/>
        <v>52608</v>
      </c>
      <c r="J63" s="5" t="str">
        <f t="shared" si="2"/>
        <v>F</v>
      </c>
    </row>
    <row r="64">
      <c r="A64" s="8" t="s">
        <v>132</v>
      </c>
      <c r="B64" s="8" t="s">
        <v>133</v>
      </c>
      <c r="C64" s="9">
        <v>12.0</v>
      </c>
      <c r="D64" s="10"/>
      <c r="E64" s="10">
        <v>8368.0</v>
      </c>
      <c r="F64" s="10">
        <v>20925.0</v>
      </c>
      <c r="G64" s="10">
        <v>17094.0</v>
      </c>
      <c r="H64" s="10">
        <v>46399.0</v>
      </c>
      <c r="I64" s="4">
        <f t="shared" si="1"/>
        <v>46387</v>
      </c>
      <c r="J64" s="5" t="str">
        <f t="shared" si="2"/>
        <v>F</v>
      </c>
    </row>
    <row r="65">
      <c r="A65" s="8" t="s">
        <v>134</v>
      </c>
      <c r="B65" s="8" t="s">
        <v>135</v>
      </c>
      <c r="C65" s="9">
        <v>12.0</v>
      </c>
      <c r="D65" s="10"/>
      <c r="E65" s="10">
        <v>8608.0</v>
      </c>
      <c r="F65" s="10">
        <v>18825.0</v>
      </c>
      <c r="G65" s="10">
        <v>7839.0</v>
      </c>
      <c r="H65" s="10">
        <v>35280.0</v>
      </c>
      <c r="I65" s="4">
        <f t="shared" si="1"/>
        <v>35272</v>
      </c>
      <c r="J65" s="5" t="str">
        <f t="shared" si="2"/>
        <v>F</v>
      </c>
    </row>
    <row r="66">
      <c r="A66" s="8" t="s">
        <v>136</v>
      </c>
      <c r="B66" s="8" t="s">
        <v>137</v>
      </c>
      <c r="C66" s="9">
        <v>12.0</v>
      </c>
      <c r="D66" s="10"/>
      <c r="E66" s="10">
        <v>8823.0</v>
      </c>
      <c r="F66" s="10">
        <v>14325.0</v>
      </c>
      <c r="G66" s="10">
        <v>3480.0</v>
      </c>
      <c r="H66" s="10">
        <v>26640.0</v>
      </c>
      <c r="I66" s="4">
        <f t="shared" si="1"/>
        <v>26628</v>
      </c>
      <c r="J66" s="5" t="str">
        <f t="shared" si="2"/>
        <v>F</v>
      </c>
    </row>
    <row r="67">
      <c r="A67" s="8"/>
      <c r="B67" s="8"/>
      <c r="C67" s="8"/>
      <c r="D67" s="10"/>
      <c r="E67" s="10"/>
      <c r="F67" s="10"/>
      <c r="G67" s="10"/>
      <c r="H67" s="10"/>
    </row>
    <row r="68">
      <c r="A68" s="8"/>
      <c r="B68" s="8"/>
      <c r="C68" s="8"/>
      <c r="D68" s="10"/>
      <c r="E68" s="10"/>
      <c r="F68" s="10"/>
      <c r="G68" s="9"/>
      <c r="H68" s="10"/>
    </row>
  </sheetData>
  <mergeCells count="1">
    <mergeCell ref="K21:K25"/>
  </mergeCells>
  <drawing r:id="rId1"/>
</worksheet>
</file>